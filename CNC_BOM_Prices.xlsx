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7495" windowHeight="14760"/>
  </bookViews>
  <sheets>
    <sheet name="Overview" sheetId="1" r:id="rId1"/>
    <sheet name="X_Axis" sheetId="2" r:id="rId2"/>
    <sheet name="Y_Axis" sheetId="3" r:id="rId3"/>
    <sheet name="Z_Axis" sheetId="4" r:id="rId4"/>
    <sheet name="Spindle" sheetId="8" r:id="rId5"/>
    <sheet name="Frame_Structure" sheetId="5" r:id="rId6"/>
    <sheet name="Control_Electronics" sheetId="6" r:id="rId7"/>
    <sheet name="Power_System" sheetId="7" r:id="rId8"/>
  </sheets>
  <calcPr calcId="145621"/>
</workbook>
</file>

<file path=xl/calcChain.xml><?xml version="1.0" encoding="utf-8"?>
<calcChain xmlns="http://schemas.openxmlformats.org/spreadsheetml/2006/main">
  <c r="H16" i="2" l="1"/>
  <c r="H8" i="2"/>
  <c r="I30" i="7" l="1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3" i="7" l="1"/>
  <c r="H14" i="2" l="1"/>
  <c r="H8" i="3"/>
  <c r="H4" i="3" l="1"/>
  <c r="H9" i="3"/>
  <c r="H7" i="3"/>
  <c r="I5" i="7"/>
  <c r="I6" i="7"/>
  <c r="I7" i="7"/>
  <c r="I8" i="7"/>
  <c r="I9" i="7"/>
  <c r="I10" i="7"/>
  <c r="I11" i="7"/>
  <c r="I12" i="7"/>
  <c r="I13" i="7"/>
  <c r="I4" i="7"/>
  <c r="D5" i="1"/>
  <c r="H5" i="8"/>
  <c r="I4" i="6"/>
  <c r="I5" i="6"/>
  <c r="I6" i="6"/>
  <c r="I7" i="6"/>
  <c r="I3" i="6"/>
  <c r="I9" i="6" s="1"/>
  <c r="I4" i="5"/>
  <c r="I5" i="5"/>
  <c r="I6" i="5"/>
  <c r="I7" i="5"/>
  <c r="I3" i="5"/>
  <c r="I9" i="5" l="1"/>
  <c r="D6" i="1" s="1"/>
  <c r="I32" i="7"/>
  <c r="D8" i="1" s="1"/>
  <c r="D7" i="1"/>
  <c r="H3" i="8"/>
  <c r="H4" i="4"/>
  <c r="H3" i="4"/>
  <c r="H6" i="4" s="1"/>
  <c r="D4" i="1" s="1"/>
  <c r="H5" i="3"/>
  <c r="H6" i="3"/>
  <c r="H10" i="3"/>
  <c r="H3" i="3"/>
  <c r="H13" i="2"/>
  <c r="H4" i="2"/>
  <c r="H5" i="2"/>
  <c r="H6" i="2"/>
  <c r="H7" i="2"/>
  <c r="H9" i="2"/>
  <c r="H10" i="2"/>
  <c r="H11" i="2"/>
  <c r="H12" i="2"/>
  <c r="H3" i="2"/>
  <c r="H12" i="3" l="1"/>
  <c r="D3" i="1" s="1"/>
  <c r="D2" i="1"/>
  <c r="D10" i="1" l="1"/>
</calcChain>
</file>

<file path=xl/sharedStrings.xml><?xml version="1.0" encoding="utf-8"?>
<sst xmlns="http://schemas.openxmlformats.org/spreadsheetml/2006/main" count="390" uniqueCount="235">
  <si>
    <t>Category</t>
  </si>
  <si>
    <t>Subsystem</t>
  </si>
  <si>
    <t>Description</t>
  </si>
  <si>
    <t>Motion</t>
  </si>
  <si>
    <t>X_Axis</t>
  </si>
  <si>
    <t>Y_Axis</t>
  </si>
  <si>
    <t>Z_Axis</t>
  </si>
  <si>
    <t>Structure</t>
  </si>
  <si>
    <t>Frame_Structure</t>
  </si>
  <si>
    <t>Controls</t>
  </si>
  <si>
    <t>Control_Electronics</t>
  </si>
  <si>
    <t>Controllers, drivers, switches, enclosures (including alternates).</t>
  </si>
  <si>
    <t>Power</t>
  </si>
  <si>
    <t>Power_System</t>
  </si>
  <si>
    <t>Power supplies, breakers, cords, cooling fans/filters.</t>
  </si>
  <si>
    <t>Spindle</t>
  </si>
  <si>
    <t>Spindle/VFD kit and cooling-loop parts.</t>
  </si>
  <si>
    <t>Item ID</t>
  </si>
  <si>
    <t>Part Name</t>
  </si>
  <si>
    <t>Qty</t>
  </si>
  <si>
    <t>Specification</t>
  </si>
  <si>
    <t>Supplier</t>
  </si>
  <si>
    <t>Part Number</t>
  </si>
  <si>
    <t>Unit Cost</t>
  </si>
  <si>
    <t>Estimated Price (USD)</t>
  </si>
  <si>
    <t>X-0001</t>
  </si>
  <si>
    <t>SBR20 linear rail kit</t>
  </si>
  <si>
    <t>2 rails 1500mm + 4 bearing blocks</t>
  </si>
  <si>
    <t>Amazon</t>
  </si>
  <si>
    <t>CNCMANS SBR20-1500mm</t>
  </si>
  <si>
    <t>X-0002</t>
  </si>
  <si>
    <t>Ballscrew kit SFU1605</t>
  </si>
  <si>
    <t>16mm 1500mm with BK/BF12 supports, nut housing, coupler, end machining</t>
  </si>
  <si>
    <t>CHUANGNENG SFU1605 1500mm</t>
  </si>
  <si>
    <t>X-0003</t>
  </si>
  <si>
    <t>X-0004</t>
  </si>
  <si>
    <t>Timing pulley 20T</t>
  </si>
  <si>
    <t>HTD 5M, 14mm bore, for 15mm belt</t>
  </si>
  <si>
    <t>Saelno 20-5M-15-14</t>
  </si>
  <si>
    <t>X-0005</t>
  </si>
  <si>
    <t>X-0006</t>
  </si>
  <si>
    <t>Timing pulley 60T</t>
  </si>
  <si>
    <t>Xuulan 60T 14mm bore</t>
  </si>
  <si>
    <t>X-0007</t>
  </si>
  <si>
    <t>Idler pulley (smooth)</t>
  </si>
  <si>
    <t>5M idler, bore 8mm, width 16mm, with bearing</t>
  </si>
  <si>
    <t>Pnloog smooth idler 8mm/16mm</t>
  </si>
  <si>
    <t>X-0008</t>
  </si>
  <si>
    <t>X-0009</t>
  </si>
  <si>
    <t>SBR20 shaft collar/rail stop</t>
  </si>
  <si>
    <t>20mm bore, 40mm OD, 12mm thick, clamp-on</t>
  </si>
  <si>
    <t>AOWEITAL 20mm collar</t>
  </si>
  <si>
    <t>X-0010</t>
  </si>
  <si>
    <t>Drag chain</t>
  </si>
  <si>
    <t>7x7mm inner, 1m with end connectors</t>
  </si>
  <si>
    <t>LMioEtool R18 7x7 1m</t>
  </si>
  <si>
    <t>X-0011</t>
  </si>
  <si>
    <t>Stepper motor, NEMA 34</t>
  </si>
  <si>
    <t>6A 12Nm, 156mm length</t>
  </si>
  <si>
    <t>HobbyUnlimited NEMA 34 6A 12Nm</t>
  </si>
  <si>
    <t>Y-0001</t>
  </si>
  <si>
    <t>SBR20 linear rail kit (option)</t>
  </si>
  <si>
    <t>Y-0003</t>
  </si>
  <si>
    <t>Y-0004</t>
  </si>
  <si>
    <t>Y-0005</t>
  </si>
  <si>
    <t>Z-0001</t>
  </si>
  <si>
    <t>Linear stage assembly</t>
  </si>
  <si>
    <t>ZBX100 200mm stroke, SBR16 rails + SFU1605 ballscrew</t>
  </si>
  <si>
    <t>RATTMMOTOR ZBX100-200</t>
  </si>
  <si>
    <t>Z-0002</t>
  </si>
  <si>
    <t>Material</t>
  </si>
  <si>
    <t>Component</t>
  </si>
  <si>
    <t>Voltage</t>
  </si>
  <si>
    <t>C-0001</t>
  </si>
  <si>
    <t>CNCTOPBAOS DDCSV4.1 offline controller</t>
  </si>
  <si>
    <t>24VDC (typ)</t>
  </si>
  <si>
    <t>4-axis 500kHz offline controller + MPG</t>
  </si>
  <si>
    <t>CNCTOPBAOS DDCSV4.1</t>
  </si>
  <si>
    <t>C-0002</t>
  </si>
  <si>
    <t>RATTMMOTOR DMA860S stepper driver</t>
  </si>
  <si>
    <t>20–80VDC</t>
  </si>
  <si>
    <t>Max 8.2A, 128 subdivision</t>
  </si>
  <si>
    <t>RATTMMOTOR DMA860S</t>
  </si>
  <si>
    <t>C-0003</t>
  </si>
  <si>
    <t>Emergency stop switch (22mm)</t>
  </si>
  <si>
    <t>N/A</t>
  </si>
  <si>
    <t>Red mushroom E-stop, twist release, 10A 660V rating</t>
  </si>
  <si>
    <t>mxuteuk HB2-BS544</t>
  </si>
  <si>
    <t>C-0004</t>
  </si>
  <si>
    <t>Limit switch, lever</t>
  </si>
  <si>
    <t>SPDT 20A/250VAC micro limit switch Z15G1307</t>
  </si>
  <si>
    <t>Be In Your Mind Z15G1307</t>
  </si>
  <si>
    <t>C-0005</t>
  </si>
  <si>
    <t>Limit switch, roller lever (IP67)</t>
  </si>
  <si>
    <t>SPDT 3-pin pre-wired waterproof microswitch</t>
  </si>
  <si>
    <t>Joinfworld IP67</t>
  </si>
  <si>
    <t>Control enclosure cabinet</t>
  </si>
  <si>
    <t>Lockable steel enclosure 60x80x25cm with plate</t>
  </si>
  <si>
    <t>SXKLYRF 60x80x25cm</t>
  </si>
  <si>
    <t>Voltage/Current</t>
  </si>
  <si>
    <t>P-0001</t>
  </si>
  <si>
    <t>Stepper PSU</t>
  </si>
  <si>
    <t>68VDC 22A</t>
  </si>
  <si>
    <t>SE-1500-68 adjustable switching PSU, 1500W</t>
  </si>
  <si>
    <t>HOHNGPOE SE-1500-68</t>
  </si>
  <si>
    <t>P-0002</t>
  </si>
  <si>
    <t>24V DIN PSU (Mean Well)</t>
  </si>
  <si>
    <t>24VDC 10A</t>
  </si>
  <si>
    <t>Mean Well NDR-240-24, 240W</t>
  </si>
  <si>
    <t>Mean Well NDR-240-24</t>
  </si>
  <si>
    <t>P-0003</t>
  </si>
  <si>
    <t>24V DIN PSU (alternate/spare)</t>
  </si>
  <si>
    <t>24VDC 5A</t>
  </si>
  <si>
    <t>NDR 120W dual output switching PSU</t>
  </si>
  <si>
    <t>LCLCTC 24V 5A</t>
  </si>
  <si>
    <t>P-0004</t>
  </si>
  <si>
    <t>DIN rail breaker</t>
  </si>
  <si>
    <t>2-pole 6A</t>
  </si>
  <si>
    <t>Non-polarized AC/DC breaker, thermal magnetic</t>
  </si>
  <si>
    <t>DIHOOL 6A</t>
  </si>
  <si>
    <t>P-0005</t>
  </si>
  <si>
    <t>2-pole 15A</t>
  </si>
  <si>
    <t>DIHOOL 15A</t>
  </si>
  <si>
    <t>P-0006</t>
  </si>
  <si>
    <t>2-pole 30A</t>
  </si>
  <si>
    <t>DIHOOL 30A</t>
  </si>
  <si>
    <t>P-0007</t>
  </si>
  <si>
    <t>Dryer extension cord</t>
  </si>
  <si>
    <t>30A 125/250V</t>
  </si>
  <si>
    <t>NEMA 10-30P to 10-30R, 25ft, 10 gauge</t>
  </si>
  <si>
    <t>Nilight 25FT 10-30</t>
  </si>
  <si>
    <t>P-0008</t>
  </si>
  <si>
    <t>AC enclosure fan</t>
  </si>
  <si>
    <t>220–240VAC 0.14A</t>
  </si>
  <si>
    <t>120x120x38mm dual ball bearing fan</t>
  </si>
  <si>
    <t>uxcell DP200A</t>
  </si>
  <si>
    <t>P-0009</t>
  </si>
  <si>
    <t>Fan filter grills + screws</t>
  </si>
  <si>
    <t>120mm</t>
  </si>
  <si>
    <t>Ultra fine aluminum mesh grills, 4 pack</t>
  </si>
  <si>
    <t>IMSurQltyPrise 4 pack</t>
  </si>
  <si>
    <t>P-0010</t>
  </si>
  <si>
    <t>Fan dust filter covers</t>
  </si>
  <si>
    <t>PC fan dust filter covers, 2 pack</t>
  </si>
  <si>
    <t>Wathai 2 pack</t>
  </si>
  <si>
    <t>S-0001</t>
  </si>
  <si>
    <t>Spindle + VFD kit</t>
  </si>
  <si>
    <t>220V 2.2kW VFD + 2.2kW 80mm water-cooled spindle + 75W pump + clamp + 5m hose</t>
  </si>
  <si>
    <t>HY HUANYANG kit</t>
  </si>
  <si>
    <t>Subsystem Cost</t>
  </si>
  <si>
    <t>Gear Rack</t>
  </si>
  <si>
    <t>Gear</t>
  </si>
  <si>
    <t>McMaster-Carr</t>
  </si>
  <si>
    <t>2664N379</t>
  </si>
  <si>
    <t>2485N222</t>
  </si>
  <si>
    <t>Metal Gear Rack - 20 Degree Pressure Angle with Machined Ends, 1.5 Module, 1000 mm Long</t>
  </si>
  <si>
    <t>Metal Gear - 20 Degree Pressure Angle, Round with Set Screw, 1.5 Module, 20 Teeth</t>
  </si>
  <si>
    <t>Belt</t>
  </si>
  <si>
    <t>15mm Drive Belt</t>
  </si>
  <si>
    <t>Table Top/Bottom</t>
  </si>
  <si>
    <t>Birch Plywood</t>
  </si>
  <si>
    <t xml:space="preserve"> 4x8x.453"</t>
  </si>
  <si>
    <t>Home Depot</t>
  </si>
  <si>
    <t>Spoil Board</t>
  </si>
  <si>
    <t>Fixture Board</t>
  </si>
  <si>
    <t>Particle Board</t>
  </si>
  <si>
    <t>4x8x.75"</t>
  </si>
  <si>
    <t>Laminate Sheet</t>
  </si>
  <si>
    <t>4x8x.35"</t>
  </si>
  <si>
    <t>Lumber</t>
  </si>
  <si>
    <t>Poplar</t>
  </si>
  <si>
    <t>board feet</t>
  </si>
  <si>
    <t>X-axis motion and belt drive components.</t>
  </si>
  <si>
    <t>Y-axis motion components and alternate rail option.</t>
  </si>
  <si>
    <t>Z-axis linear stage and related components.</t>
  </si>
  <si>
    <t>Mechanical hardware, tooling, and accessories.</t>
  </si>
  <si>
    <t>Custom 3D Printing</t>
  </si>
  <si>
    <t>X Drive Bracket</t>
  </si>
  <si>
    <t>Y-0006</t>
  </si>
  <si>
    <t>Y Axis Drive Bracket</t>
  </si>
  <si>
    <t>Custom CNC Machining</t>
  </si>
  <si>
    <t>Coupling</t>
  </si>
  <si>
    <t>Plum Coupling Flex Shaft</t>
  </si>
  <si>
    <t>WELDRIC</t>
  </si>
  <si>
    <t>10" X 2.88" X .526" web 6061-T6 Aluminum Channel (AS)</t>
  </si>
  <si>
    <t>Crosshead</t>
  </si>
  <si>
    <t>Metals Depot</t>
  </si>
  <si>
    <t>Southwire VFD cable, shielded, 4 conductors (includes ground), 14 AWG, tinned copper, XLPE conductor insulation material, black with white numbers and green/yellow ground, TPE jacket, black, cut to length.</t>
  </si>
  <si>
    <t>LUTZE MOTIONFLEX continuous flexing VFD cable, shielded, 4 conductors (includes ground), 14 AWG, 104-stranded, tinned copper, XLPE conductor insulation material, XHHW-2 jacket, black, cut to length.</t>
  </si>
  <si>
    <t>Quabbin Datamax continuous flexing PROFINET cable, shielded, PLTC, ITC and AWM, 2 twisted pairs, 22 AWG, tinned copper, HDPE conductor insulation material, white, blue, yellow and orange, TPE jacket, green, cut to length.</t>
  </si>
  <si>
    <t>LUTZE PROFIBUS cable, shielded, 1 twisted pair, 22 AWG, solid, bare copper, special polyolefin conductor insulation material, PVC jacket, purple, cut to length.</t>
  </si>
  <si>
    <t>VFDC-14-4B-1_x000D_</t>
  </si>
  <si>
    <t>A4061404-1_x000D_</t>
  </si>
  <si>
    <t>Q5924-1_x000D_</t>
  </si>
  <si>
    <t>A104293-1_x000D_</t>
  </si>
  <si>
    <t>VFD to Spindle Cable</t>
  </si>
  <si>
    <t xml:space="preserve">Stepper Motor Cables </t>
  </si>
  <si>
    <t>Step / Direction / Enable Signal Cable</t>
  </si>
  <si>
    <t>Limit, Home, and Analog Control Cable</t>
  </si>
  <si>
    <t>10 AWG Stranded Copper (THHN/THWN-2)</t>
  </si>
  <si>
    <t>12 AWG Stranded Copper (THHN/THWN-2)</t>
  </si>
  <si>
    <t>14 AWG Stranded Copper (THHN/THWN-2)</t>
  </si>
  <si>
    <t>16 AWG Stranded Copper (THHN/THWN-2)</t>
  </si>
  <si>
    <t>18 AWG Stranded Copper (Primary Wire)</t>
  </si>
  <si>
    <t>24VDC</t>
  </si>
  <si>
    <t>Red</t>
  </si>
  <si>
    <t>Black</t>
  </si>
  <si>
    <t>Green</t>
  </si>
  <si>
    <t>25 feet</t>
  </si>
  <si>
    <t>50 feet</t>
  </si>
  <si>
    <t>33 feet</t>
  </si>
  <si>
    <t>Advantage Lumber</t>
  </si>
  <si>
    <t>P-0011</t>
  </si>
  <si>
    <t>W-0001</t>
  </si>
  <si>
    <t>W-0002</t>
  </si>
  <si>
    <t>W-0003</t>
  </si>
  <si>
    <t>W-0004</t>
  </si>
  <si>
    <t>W-0005</t>
  </si>
  <si>
    <t>W-0006</t>
  </si>
  <si>
    <t>W-0007</t>
  </si>
  <si>
    <t>W-0008</t>
  </si>
  <si>
    <t>W-0009</t>
  </si>
  <si>
    <t>W-0010</t>
  </si>
  <si>
    <t>W-0011</t>
  </si>
  <si>
    <t>W-0012</t>
  </si>
  <si>
    <t>W-0013</t>
  </si>
  <si>
    <t>W-0014</t>
  </si>
  <si>
    <t>W-0015</t>
  </si>
  <si>
    <t>W-0016</t>
  </si>
  <si>
    <t>W-0017</t>
  </si>
  <si>
    <t>Lowes</t>
  </si>
  <si>
    <t>AutomationDirect</t>
  </si>
  <si>
    <t>Needle-Roller Bearings</t>
  </si>
  <si>
    <t>20mm OD 14mm ID 12mm wide</t>
  </si>
  <si>
    <t>5905K75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</si>
</sst>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A86"/>
        <bgColor rgb="FF002A86"/>
      </patternFill>
    </fill>
    <fill>
      <patternFill patternType="solid">
        <fgColor rgb="FFDCA90D"/>
        <bgColor rgb="FFDCA90D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44" fontId="0" fillId="0" borderId="0" xfId="1" applyNumberFormat="1" applyFont="1" applyAlignment="1">
      <alignment vertical="top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64" fontId="0" fillId="0" borderId="0" xfId="1" applyNumberFormat="1" applyFont="1" applyAlignment="1">
      <alignment vertical="top"/>
    </xf>
    <xf numFmtId="44" fontId="0" fillId="0" borderId="0" xfId="1" applyFont="1" applyAlignment="1">
      <alignment vertical="top"/>
    </xf>
    <xf numFmtId="164" fontId="4" fillId="0" borderId="1" xfId="0" applyNumberFormat="1" applyFont="1" applyBorder="1"/>
    <xf numFmtId="8" fontId="0" fillId="0" borderId="0" xfId="0" applyNumberFormat="1"/>
    <xf numFmtId="0" fontId="5" fillId="0" borderId="0" xfId="2" applyAlignment="1">
      <alignment vertical="top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uy.advantagelumber.com/products/8-4-poplar-lumber-fl?variant=4100874407121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6" sqref="C6"/>
    </sheetView>
  </sheetViews>
  <sheetFormatPr defaultRowHeight="15" x14ac:dyDescent="0.25"/>
  <cols>
    <col min="1" max="1" width="9.140625" bestFit="1" customWidth="1"/>
    <col min="2" max="2" width="18.42578125" bestFit="1" customWidth="1"/>
    <col min="3" max="3" width="72.140625" customWidth="1"/>
    <col min="4" max="4" width="1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</v>
      </c>
    </row>
    <row r="2" spans="1:4" x14ac:dyDescent="0.25">
      <c r="A2" s="2" t="s">
        <v>3</v>
      </c>
      <c r="B2" s="3" t="s">
        <v>4</v>
      </c>
      <c r="C2" s="3" t="s">
        <v>172</v>
      </c>
      <c r="D2" s="7">
        <f>X_Axis!H16</f>
        <v>2073.5500000000002</v>
      </c>
    </row>
    <row r="3" spans="1:4" x14ac:dyDescent="0.25">
      <c r="A3" s="2" t="s">
        <v>3</v>
      </c>
      <c r="B3" s="3" t="s">
        <v>5</v>
      </c>
      <c r="C3" s="3" t="s">
        <v>173</v>
      </c>
      <c r="D3" s="7">
        <f>Y_Axis!H12</f>
        <v>2906.3199999999997</v>
      </c>
    </row>
    <row r="4" spans="1:4" x14ac:dyDescent="0.25">
      <c r="A4" s="2" t="s">
        <v>3</v>
      </c>
      <c r="B4" s="3" t="s">
        <v>6</v>
      </c>
      <c r="C4" s="3" t="s">
        <v>174</v>
      </c>
      <c r="D4" s="7">
        <f>Z_Axis!H6</f>
        <v>175</v>
      </c>
    </row>
    <row r="5" spans="1:4" x14ac:dyDescent="0.25">
      <c r="A5" s="2" t="s">
        <v>15</v>
      </c>
      <c r="B5" s="3" t="s">
        <v>15</v>
      </c>
      <c r="C5" s="3" t="s">
        <v>16</v>
      </c>
      <c r="D5" s="7">
        <f>Spindle!H5</f>
        <v>319.98</v>
      </c>
    </row>
    <row r="6" spans="1:4" x14ac:dyDescent="0.25">
      <c r="A6" s="2" t="s">
        <v>7</v>
      </c>
      <c r="B6" s="3" t="s">
        <v>8</v>
      </c>
      <c r="C6" s="3" t="s">
        <v>175</v>
      </c>
      <c r="D6" s="7">
        <f>Frame_Structure!I9</f>
        <v>773.61</v>
      </c>
    </row>
    <row r="7" spans="1:4" x14ac:dyDescent="0.25">
      <c r="A7" s="2" t="s">
        <v>9</v>
      </c>
      <c r="B7" s="3" t="s">
        <v>10</v>
      </c>
      <c r="C7" s="3" t="s">
        <v>11</v>
      </c>
      <c r="D7" s="7">
        <f>Control_Electronics!I9</f>
        <v>504.65000000000003</v>
      </c>
    </row>
    <row r="8" spans="1:4" x14ac:dyDescent="0.25">
      <c r="A8" s="2" t="s">
        <v>12</v>
      </c>
      <c r="B8" s="3" t="s">
        <v>13</v>
      </c>
      <c r="C8" s="3" t="s">
        <v>14</v>
      </c>
      <c r="D8" s="7">
        <f>Power_System!I32</f>
        <v>2063.2799999999997</v>
      </c>
    </row>
    <row r="9" spans="1:4" ht="15.75" thickBot="1" x14ac:dyDescent="0.3">
      <c r="D9" s="7"/>
    </row>
    <row r="10" spans="1:4" ht="15.75" thickBot="1" x14ac:dyDescent="0.3">
      <c r="D10" s="28">
        <f>SUM(D2:D8)</f>
        <v>8816.39</v>
      </c>
    </row>
  </sheetData>
  <pageMargins left="0.75" right="0.75" top="1" bottom="1" header="0.5" footer="0.5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L23" sqref="L23"/>
    </sheetView>
  </sheetViews>
  <sheetFormatPr defaultRowHeight="15" x14ac:dyDescent="0.25"/>
  <cols>
    <col min="1" max="1" width="18" customWidth="1"/>
    <col min="2" max="2" width="26" customWidth="1"/>
    <col min="3" max="3" width="5.85546875" customWidth="1"/>
    <col min="4" max="4" width="45.42578125" customWidth="1"/>
    <col min="5" max="5" width="18" customWidth="1"/>
    <col min="6" max="6" width="20.28515625" bestFit="1" customWidth="1"/>
    <col min="7" max="7" width="20.5703125" bestFit="1" customWidth="1"/>
    <col min="8" max="8" width="36" customWidth="1"/>
  </cols>
  <sheetData>
    <row r="1" spans="1:8" ht="18" customHeigh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5" t="s">
        <v>23</v>
      </c>
      <c r="H1" s="14" t="s">
        <v>24</v>
      </c>
    </row>
    <row r="2" spans="1:8" ht="18" customHeight="1" x14ac:dyDescent="0.25">
      <c r="A2" s="13"/>
      <c r="B2" s="11"/>
      <c r="C2" s="11"/>
      <c r="D2" s="11"/>
      <c r="E2" s="11"/>
      <c r="F2" s="11"/>
      <c r="G2" s="11"/>
      <c r="H2" s="11"/>
    </row>
    <row r="3" spans="1:8" ht="30" x14ac:dyDescent="0.25">
      <c r="A3" s="13" t="s">
        <v>25</v>
      </c>
      <c r="B3" s="24" t="s">
        <v>26</v>
      </c>
      <c r="C3" s="24">
        <v>2</v>
      </c>
      <c r="D3" s="24" t="s">
        <v>27</v>
      </c>
      <c r="E3" s="24" t="s">
        <v>28</v>
      </c>
      <c r="F3" s="3" t="s">
        <v>29</v>
      </c>
      <c r="G3" s="4">
        <v>79.05</v>
      </c>
      <c r="H3" s="4">
        <f>G3*C3</f>
        <v>158.1</v>
      </c>
    </row>
    <row r="4" spans="1:8" ht="30" x14ac:dyDescent="0.25">
      <c r="A4" s="13" t="s">
        <v>30</v>
      </c>
      <c r="B4" s="24" t="s">
        <v>150</v>
      </c>
      <c r="C4" s="24">
        <v>6</v>
      </c>
      <c r="D4" s="24" t="s">
        <v>155</v>
      </c>
      <c r="E4" s="25" t="s">
        <v>152</v>
      </c>
      <c r="F4" s="3" t="s">
        <v>154</v>
      </c>
      <c r="G4" s="4">
        <v>122.4</v>
      </c>
      <c r="H4" s="4">
        <f t="shared" ref="H4:H14" si="0">G4*C4</f>
        <v>734.40000000000009</v>
      </c>
    </row>
    <row r="5" spans="1:8" ht="30" x14ac:dyDescent="0.25">
      <c r="A5" s="13" t="s">
        <v>34</v>
      </c>
      <c r="B5" s="25" t="s">
        <v>151</v>
      </c>
      <c r="C5" s="25">
        <v>2</v>
      </c>
      <c r="D5" s="24" t="s">
        <v>156</v>
      </c>
      <c r="E5" s="25" t="s">
        <v>152</v>
      </c>
      <c r="F5" s="3" t="s">
        <v>153</v>
      </c>
      <c r="G5" s="26">
        <v>18.170000000000002</v>
      </c>
      <c r="H5" s="4">
        <f t="shared" si="0"/>
        <v>36.340000000000003</v>
      </c>
    </row>
    <row r="6" spans="1:8" x14ac:dyDescent="0.25">
      <c r="A6" s="13" t="s">
        <v>35</v>
      </c>
      <c r="B6" s="24" t="s">
        <v>36</v>
      </c>
      <c r="C6" s="24">
        <v>2</v>
      </c>
      <c r="D6" s="24" t="s">
        <v>37</v>
      </c>
      <c r="E6" s="24" t="s">
        <v>28</v>
      </c>
      <c r="F6" s="3" t="s">
        <v>38</v>
      </c>
      <c r="G6" s="4">
        <v>9.99</v>
      </c>
      <c r="H6" s="4">
        <f t="shared" si="0"/>
        <v>19.98</v>
      </c>
    </row>
    <row r="7" spans="1:8" ht="30" x14ac:dyDescent="0.25">
      <c r="A7" s="13" t="s">
        <v>39</v>
      </c>
      <c r="B7" s="24" t="s">
        <v>41</v>
      </c>
      <c r="C7" s="24">
        <v>2</v>
      </c>
      <c r="D7" s="24" t="s">
        <v>37</v>
      </c>
      <c r="E7" s="24" t="s">
        <v>28</v>
      </c>
      <c r="F7" s="3" t="s">
        <v>42</v>
      </c>
      <c r="G7" s="4">
        <v>34.14</v>
      </c>
      <c r="H7" s="4">
        <f t="shared" si="0"/>
        <v>68.28</v>
      </c>
    </row>
    <row r="8" spans="1:8" x14ac:dyDescent="0.25">
      <c r="A8" s="13"/>
      <c r="B8" s="24" t="s">
        <v>232</v>
      </c>
      <c r="C8" s="24">
        <v>4</v>
      </c>
      <c r="D8" s="24" t="s">
        <v>233</v>
      </c>
      <c r="E8" s="24" t="s">
        <v>152</v>
      </c>
      <c r="F8" s="3" t="s">
        <v>234</v>
      </c>
      <c r="G8" s="4">
        <v>6.24</v>
      </c>
      <c r="H8" s="4">
        <f t="shared" si="0"/>
        <v>24.96</v>
      </c>
    </row>
    <row r="9" spans="1:8" ht="30" x14ac:dyDescent="0.25">
      <c r="A9" s="13" t="s">
        <v>40</v>
      </c>
      <c r="B9" s="24" t="s">
        <v>44</v>
      </c>
      <c r="C9" s="24">
        <v>2</v>
      </c>
      <c r="D9" s="24" t="s">
        <v>45</v>
      </c>
      <c r="E9" s="24" t="s">
        <v>28</v>
      </c>
      <c r="F9" s="3" t="s">
        <v>46</v>
      </c>
      <c r="G9" s="4">
        <v>17.78</v>
      </c>
      <c r="H9" s="4">
        <f t="shared" si="0"/>
        <v>35.56</v>
      </c>
    </row>
    <row r="10" spans="1:8" ht="30" x14ac:dyDescent="0.25">
      <c r="A10" s="13" t="s">
        <v>43</v>
      </c>
      <c r="B10" s="24" t="s">
        <v>49</v>
      </c>
      <c r="C10" s="24">
        <v>4</v>
      </c>
      <c r="D10" s="24" t="s">
        <v>50</v>
      </c>
      <c r="E10" s="24" t="s">
        <v>28</v>
      </c>
      <c r="F10" s="3" t="s">
        <v>51</v>
      </c>
      <c r="G10" s="4">
        <v>15.99</v>
      </c>
      <c r="H10" s="4">
        <f t="shared" si="0"/>
        <v>63.96</v>
      </c>
    </row>
    <row r="11" spans="1:8" x14ac:dyDescent="0.25">
      <c r="A11" s="13" t="s">
        <v>47</v>
      </c>
      <c r="B11" s="24" t="s">
        <v>53</v>
      </c>
      <c r="C11" s="24">
        <v>3</v>
      </c>
      <c r="D11" s="24" t="s">
        <v>54</v>
      </c>
      <c r="E11" s="24" t="s">
        <v>28</v>
      </c>
      <c r="F11" s="3" t="s">
        <v>55</v>
      </c>
      <c r="G11" s="4">
        <v>9.99</v>
      </c>
      <c r="H11" s="4">
        <f t="shared" si="0"/>
        <v>29.97</v>
      </c>
    </row>
    <row r="12" spans="1:8" ht="30" x14ac:dyDescent="0.25">
      <c r="A12" s="13" t="s">
        <v>48</v>
      </c>
      <c r="B12" s="24" t="s">
        <v>57</v>
      </c>
      <c r="C12" s="24">
        <v>2</v>
      </c>
      <c r="D12" s="24" t="s">
        <v>58</v>
      </c>
      <c r="E12" s="24" t="s">
        <v>28</v>
      </c>
      <c r="F12" s="3" t="s">
        <v>59</v>
      </c>
      <c r="G12" s="4">
        <v>70</v>
      </c>
      <c r="H12" s="4">
        <f t="shared" si="0"/>
        <v>140</v>
      </c>
    </row>
    <row r="13" spans="1:8" x14ac:dyDescent="0.25">
      <c r="A13" s="13" t="s">
        <v>52</v>
      </c>
      <c r="B13" s="24" t="s">
        <v>157</v>
      </c>
      <c r="C13" s="24">
        <v>2</v>
      </c>
      <c r="D13" s="24" t="s">
        <v>158</v>
      </c>
      <c r="E13" s="24" t="s">
        <v>28</v>
      </c>
      <c r="F13" s="3"/>
      <c r="G13" s="4">
        <v>10</v>
      </c>
      <c r="H13" s="4">
        <f t="shared" si="0"/>
        <v>20</v>
      </c>
    </row>
    <row r="14" spans="1:8" x14ac:dyDescent="0.25">
      <c r="A14" s="13" t="s">
        <v>56</v>
      </c>
      <c r="B14" s="24" t="s">
        <v>176</v>
      </c>
      <c r="C14" s="24">
        <v>2</v>
      </c>
      <c r="D14" s="24" t="s">
        <v>177</v>
      </c>
      <c r="E14" s="25"/>
      <c r="F14" s="3"/>
      <c r="G14" s="12">
        <v>371</v>
      </c>
      <c r="H14" s="6">
        <f t="shared" si="0"/>
        <v>742</v>
      </c>
    </row>
    <row r="15" spans="1:8" x14ac:dyDescent="0.25">
      <c r="A15" s="11"/>
      <c r="B15" s="11"/>
      <c r="C15" s="11"/>
      <c r="D15" s="11"/>
      <c r="E15" s="11"/>
      <c r="F15" s="11"/>
      <c r="G15" s="11"/>
    </row>
    <row r="16" spans="1:8" x14ac:dyDescent="0.25">
      <c r="H16" s="12">
        <f>SUM(H3:H14)</f>
        <v>2073.5500000000002</v>
      </c>
    </row>
    <row r="22" spans="4:4" x14ac:dyDescent="0.25">
      <c r="D22" s="10"/>
    </row>
  </sheetData>
  <pageMargins left="0.75" right="0.75" top="1" bottom="1" header="0.5" footer="0.5"/>
  <pageSetup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E9" sqref="E9"/>
    </sheetView>
  </sheetViews>
  <sheetFormatPr defaultRowHeight="15" x14ac:dyDescent="0.25"/>
  <cols>
    <col min="1" max="1" width="18" customWidth="1"/>
    <col min="2" max="2" width="26" customWidth="1"/>
    <col min="3" max="3" width="18" customWidth="1"/>
    <col min="4" max="4" width="36" customWidth="1"/>
    <col min="5" max="6" width="18" customWidth="1"/>
    <col min="7" max="7" width="20.5703125" bestFit="1" customWidth="1"/>
    <col min="8" max="8" width="36" customWidth="1"/>
  </cols>
  <sheetData>
    <row r="1" spans="1:8" ht="18" customHeight="1" x14ac:dyDescent="0.25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9" t="s">
        <v>23</v>
      </c>
      <c r="H1" s="8" t="s">
        <v>24</v>
      </c>
    </row>
    <row r="2" spans="1:8" ht="18" customHeight="1" x14ac:dyDescent="0.25">
      <c r="A2" s="13"/>
      <c r="B2" s="11"/>
      <c r="C2" s="11"/>
      <c r="D2" s="11"/>
      <c r="E2" s="11"/>
      <c r="F2" s="11"/>
      <c r="G2" s="11"/>
      <c r="H2" s="11"/>
    </row>
    <row r="3" spans="1:8" ht="30" x14ac:dyDescent="0.25">
      <c r="A3" s="13" t="s">
        <v>60</v>
      </c>
      <c r="B3" s="3" t="s">
        <v>61</v>
      </c>
      <c r="C3" s="3">
        <v>1</v>
      </c>
      <c r="D3" s="3" t="s">
        <v>27</v>
      </c>
      <c r="E3" s="3" t="s">
        <v>28</v>
      </c>
      <c r="F3" s="3" t="s">
        <v>29</v>
      </c>
      <c r="G3" s="6">
        <v>79.05</v>
      </c>
      <c r="H3" s="4">
        <f>C3*G3</f>
        <v>79.05</v>
      </c>
    </row>
    <row r="4" spans="1:8" x14ac:dyDescent="0.25">
      <c r="A4" s="13"/>
      <c r="B4" s="3" t="s">
        <v>181</v>
      </c>
      <c r="C4" s="3">
        <v>1</v>
      </c>
      <c r="D4" s="3" t="s">
        <v>182</v>
      </c>
      <c r="E4" s="3" t="s">
        <v>28</v>
      </c>
      <c r="F4" s="3" t="s">
        <v>183</v>
      </c>
      <c r="G4" s="6">
        <v>30.54</v>
      </c>
      <c r="H4" s="4">
        <f>C4*G4</f>
        <v>30.54</v>
      </c>
    </row>
    <row r="5" spans="1:8" ht="30" x14ac:dyDescent="0.25">
      <c r="A5" s="13" t="s">
        <v>62</v>
      </c>
      <c r="B5" s="3" t="s">
        <v>31</v>
      </c>
      <c r="C5" s="3">
        <v>1</v>
      </c>
      <c r="D5" s="3" t="s">
        <v>32</v>
      </c>
      <c r="E5" s="3" t="s">
        <v>28</v>
      </c>
      <c r="F5" s="3" t="s">
        <v>33</v>
      </c>
      <c r="G5" s="6">
        <v>93.59</v>
      </c>
      <c r="H5" s="4">
        <f t="shared" ref="H5:H10" si="0">C5*G5</f>
        <v>93.59</v>
      </c>
    </row>
    <row r="6" spans="1:8" ht="30" x14ac:dyDescent="0.25">
      <c r="A6" s="13" t="s">
        <v>63</v>
      </c>
      <c r="B6" s="3" t="s">
        <v>53</v>
      </c>
      <c r="C6" s="3">
        <v>1</v>
      </c>
      <c r="D6" s="3" t="s">
        <v>54</v>
      </c>
      <c r="E6" s="3" t="s">
        <v>28</v>
      </c>
      <c r="F6" s="3" t="s">
        <v>55</v>
      </c>
      <c r="G6" s="6">
        <v>9.99</v>
      </c>
      <c r="H6" s="4">
        <f t="shared" si="0"/>
        <v>9.99</v>
      </c>
    </row>
    <row r="7" spans="1:8" ht="30" x14ac:dyDescent="0.25">
      <c r="A7" s="13" t="s">
        <v>64</v>
      </c>
      <c r="B7" s="3" t="s">
        <v>57</v>
      </c>
      <c r="C7" s="3">
        <v>1</v>
      </c>
      <c r="D7" s="3" t="s">
        <v>58</v>
      </c>
      <c r="E7" s="3" t="s">
        <v>28</v>
      </c>
      <c r="F7" s="3" t="s">
        <v>59</v>
      </c>
      <c r="G7" s="6">
        <v>70</v>
      </c>
      <c r="H7" s="4">
        <f t="shared" ref="H7:H8" si="1">C7*G7</f>
        <v>70</v>
      </c>
    </row>
    <row r="8" spans="1:8" ht="30" x14ac:dyDescent="0.25">
      <c r="A8" s="13" t="s">
        <v>178</v>
      </c>
      <c r="B8" s="3" t="s">
        <v>185</v>
      </c>
      <c r="C8" s="3">
        <v>1</v>
      </c>
      <c r="D8" s="3" t="s">
        <v>184</v>
      </c>
      <c r="E8" s="3" t="s">
        <v>186</v>
      </c>
      <c r="F8" s="3"/>
      <c r="G8" s="27">
        <v>761.86</v>
      </c>
      <c r="H8" s="4">
        <f t="shared" si="1"/>
        <v>761.86</v>
      </c>
    </row>
    <row r="9" spans="1:8" x14ac:dyDescent="0.25">
      <c r="A9" s="13" t="s">
        <v>178</v>
      </c>
      <c r="B9" s="3" t="s">
        <v>180</v>
      </c>
      <c r="C9" s="3">
        <v>1</v>
      </c>
      <c r="D9" s="3"/>
      <c r="E9" s="3"/>
      <c r="F9" s="3"/>
      <c r="G9" s="6">
        <v>1771.29</v>
      </c>
      <c r="H9" s="4">
        <f>C9*G9</f>
        <v>1771.29</v>
      </c>
    </row>
    <row r="10" spans="1:8" x14ac:dyDescent="0.25">
      <c r="A10" s="13" t="s">
        <v>178</v>
      </c>
      <c r="B10" s="3" t="s">
        <v>176</v>
      </c>
      <c r="C10" s="3">
        <v>1</v>
      </c>
      <c r="D10" s="3" t="s">
        <v>179</v>
      </c>
      <c r="E10" s="3"/>
      <c r="F10" s="3"/>
      <c r="G10" s="6">
        <v>90</v>
      </c>
      <c r="H10" s="4">
        <f t="shared" si="0"/>
        <v>90</v>
      </c>
    </row>
    <row r="11" spans="1:8" ht="18" customHeight="1" x14ac:dyDescent="0.25">
      <c r="A11" s="11"/>
      <c r="B11" s="11"/>
      <c r="C11" s="11"/>
      <c r="D11" s="11"/>
      <c r="E11" s="11"/>
      <c r="F11" s="11"/>
      <c r="G11" s="12"/>
      <c r="H11" s="12"/>
    </row>
    <row r="12" spans="1:8" ht="18" customHeight="1" x14ac:dyDescent="0.25">
      <c r="A12" s="11"/>
      <c r="B12" s="11"/>
      <c r="C12" s="11"/>
      <c r="D12" s="11"/>
      <c r="E12" s="11"/>
      <c r="F12" s="11"/>
      <c r="G12" s="12"/>
      <c r="H12" s="12">
        <f>SUM(H3:H10)</f>
        <v>2906.3199999999997</v>
      </c>
    </row>
    <row r="13" spans="1:8" ht="18" customHeight="1" x14ac:dyDescent="0.25"/>
    <row r="14" spans="1:8" ht="18" customHeight="1" x14ac:dyDescent="0.25"/>
    <row r="15" spans="1:8" ht="18" customHeight="1" x14ac:dyDescent="0.25"/>
    <row r="16" spans="1:8" ht="18" customHeight="1" x14ac:dyDescent="0.25"/>
    <row r="17" spans="3:3" ht="18" customHeight="1" x14ac:dyDescent="0.25"/>
    <row r="19" spans="3:3" x14ac:dyDescent="0.25">
      <c r="C19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11" sqref="F11"/>
    </sheetView>
  </sheetViews>
  <sheetFormatPr defaultRowHeight="15" x14ac:dyDescent="0.25"/>
  <cols>
    <col min="1" max="1" width="18" customWidth="1"/>
    <col min="2" max="2" width="26" customWidth="1"/>
    <col min="3" max="3" width="18" customWidth="1"/>
    <col min="4" max="4" width="36" customWidth="1"/>
    <col min="5" max="6" width="18" customWidth="1"/>
    <col min="7" max="7" width="20.5703125" bestFit="1" customWidth="1"/>
    <col min="8" max="8" width="36" customWidth="1"/>
  </cols>
  <sheetData>
    <row r="1" spans="1:8" ht="18" customHeigh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5" t="s">
        <v>23</v>
      </c>
      <c r="H1" s="14" t="s">
        <v>24</v>
      </c>
    </row>
    <row r="2" spans="1:8" ht="18" customHeight="1" x14ac:dyDescent="0.25">
      <c r="A2" s="23"/>
      <c r="B2" s="3"/>
      <c r="C2" s="3"/>
      <c r="D2" s="3"/>
      <c r="E2" s="3"/>
      <c r="F2" s="3"/>
      <c r="G2" s="3"/>
      <c r="H2" s="3"/>
    </row>
    <row r="3" spans="1:8" ht="30" x14ac:dyDescent="0.25">
      <c r="A3" s="23" t="s">
        <v>65</v>
      </c>
      <c r="B3" s="3" t="s">
        <v>66</v>
      </c>
      <c r="C3" s="3">
        <v>1</v>
      </c>
      <c r="D3" s="3" t="s">
        <v>67</v>
      </c>
      <c r="E3" s="3" t="s">
        <v>28</v>
      </c>
      <c r="F3" s="3" t="s">
        <v>68</v>
      </c>
      <c r="G3" s="6">
        <v>105</v>
      </c>
      <c r="H3" s="6">
        <f>G3*C3</f>
        <v>105</v>
      </c>
    </row>
    <row r="4" spans="1:8" ht="30" x14ac:dyDescent="0.25">
      <c r="A4" s="23" t="s">
        <v>69</v>
      </c>
      <c r="B4" s="3" t="s">
        <v>57</v>
      </c>
      <c r="C4" s="3">
        <v>1</v>
      </c>
      <c r="D4" s="3" t="s">
        <v>58</v>
      </c>
      <c r="E4" s="3" t="s">
        <v>28</v>
      </c>
      <c r="F4" s="3" t="s">
        <v>59</v>
      </c>
      <c r="G4" s="6">
        <v>70</v>
      </c>
      <c r="H4" s="6">
        <f>G4*C4</f>
        <v>70</v>
      </c>
    </row>
    <row r="5" spans="1:8" ht="18" customHeight="1" x14ac:dyDescent="0.25">
      <c r="A5" s="3"/>
      <c r="B5" s="3"/>
      <c r="C5" s="3"/>
      <c r="D5" s="3"/>
      <c r="E5" s="3"/>
      <c r="F5" s="3"/>
      <c r="G5" s="6"/>
      <c r="H5" s="6"/>
    </row>
    <row r="6" spans="1:8" ht="18" customHeight="1" x14ac:dyDescent="0.25">
      <c r="A6" s="3"/>
      <c r="B6" s="3"/>
      <c r="C6" s="3"/>
      <c r="D6" s="3"/>
      <c r="E6" s="3"/>
      <c r="F6" s="3"/>
      <c r="G6" s="6"/>
      <c r="H6" s="6">
        <f>SUM(H3:H4)</f>
        <v>175</v>
      </c>
    </row>
    <row r="7" spans="1:8" ht="18" customHeight="1" x14ac:dyDescent="0.25"/>
    <row r="8" spans="1:8" ht="18" customHeight="1" x14ac:dyDescent="0.25"/>
    <row r="9" spans="1:8" ht="18" customHeight="1" x14ac:dyDescent="0.25"/>
    <row r="10" spans="1:8" ht="18" customHeight="1" x14ac:dyDescent="0.25"/>
    <row r="11" spans="1:8" ht="18" customHeight="1" x14ac:dyDescent="0.25">
      <c r="C11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D5" sqref="D5"/>
    </sheetView>
  </sheetViews>
  <sheetFormatPr defaultRowHeight="15" x14ac:dyDescent="0.25"/>
  <cols>
    <col min="1" max="1" width="18" customWidth="1"/>
    <col min="2" max="2" width="26" customWidth="1"/>
    <col min="3" max="3" width="18" customWidth="1"/>
    <col min="4" max="4" width="36" customWidth="1"/>
    <col min="5" max="6" width="18" customWidth="1"/>
    <col min="7" max="7" width="36" customWidth="1"/>
    <col min="8" max="8" width="22" customWidth="1"/>
  </cols>
  <sheetData>
    <row r="1" spans="1:8" ht="18" customHeight="1" x14ac:dyDescent="0.25">
      <c r="A1" s="21" t="s">
        <v>17</v>
      </c>
      <c r="B1" s="21" t="s">
        <v>71</v>
      </c>
      <c r="C1" s="21" t="s">
        <v>19</v>
      </c>
      <c r="D1" s="21" t="s">
        <v>20</v>
      </c>
      <c r="E1" s="21" t="s">
        <v>21</v>
      </c>
      <c r="F1" s="21" t="s">
        <v>22</v>
      </c>
      <c r="G1" s="22" t="s">
        <v>23</v>
      </c>
      <c r="H1" s="21" t="s">
        <v>24</v>
      </c>
    </row>
    <row r="2" spans="1:8" ht="18" customHeight="1" x14ac:dyDescent="0.25">
      <c r="A2" s="17"/>
      <c r="B2" s="18"/>
      <c r="C2" s="18"/>
      <c r="D2" s="18"/>
      <c r="E2" s="18"/>
      <c r="F2" s="18"/>
      <c r="G2" s="18"/>
      <c r="H2" s="18"/>
    </row>
    <row r="3" spans="1:8" ht="45" x14ac:dyDescent="0.25">
      <c r="A3" s="17" t="s">
        <v>145</v>
      </c>
      <c r="B3" s="5" t="s">
        <v>146</v>
      </c>
      <c r="C3" s="5">
        <v>1</v>
      </c>
      <c r="D3" s="5" t="s">
        <v>147</v>
      </c>
      <c r="E3" s="5" t="s">
        <v>28</v>
      </c>
      <c r="F3" s="5" t="s">
        <v>148</v>
      </c>
      <c r="G3" s="19">
        <v>319.98</v>
      </c>
      <c r="H3" s="20">
        <f>C3*G3</f>
        <v>319.98</v>
      </c>
    </row>
    <row r="4" spans="1:8" ht="18" customHeight="1" x14ac:dyDescent="0.25">
      <c r="A4" s="18"/>
      <c r="B4" s="18"/>
      <c r="C4" s="18"/>
      <c r="D4" s="18"/>
      <c r="E4" s="18"/>
      <c r="F4" s="18"/>
      <c r="G4" s="18"/>
      <c r="H4" s="18"/>
    </row>
    <row r="5" spans="1:8" ht="18" customHeight="1" x14ac:dyDescent="0.25">
      <c r="A5" s="18"/>
      <c r="B5" s="18"/>
      <c r="C5" s="18"/>
      <c r="D5" s="18"/>
      <c r="E5" s="18"/>
      <c r="F5" s="18"/>
      <c r="G5" s="18"/>
      <c r="H5" s="20">
        <f>H3</f>
        <v>319.98</v>
      </c>
    </row>
    <row r="6" spans="1:8" ht="18" customHeight="1" x14ac:dyDescent="0.25"/>
    <row r="7" spans="1:8" ht="18" customHeight="1" x14ac:dyDescent="0.25"/>
    <row r="8" spans="1:8" ht="18" customHeight="1" x14ac:dyDescent="0.25"/>
    <row r="9" spans="1:8" ht="18" customHeight="1" x14ac:dyDescent="0.25"/>
    <row r="10" spans="1:8" ht="18" customHeight="1" x14ac:dyDescent="0.25"/>
    <row r="11" spans="1:8" ht="18" customHeight="1" x14ac:dyDescent="0.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I13" sqref="I13"/>
    </sheetView>
  </sheetViews>
  <sheetFormatPr defaultRowHeight="15" x14ac:dyDescent="0.25"/>
  <cols>
    <col min="1" max="1" width="18" customWidth="1"/>
    <col min="2" max="2" width="26" customWidth="1"/>
    <col min="3" max="4" width="18" customWidth="1"/>
    <col min="5" max="5" width="36" customWidth="1"/>
    <col min="6" max="7" width="18" customWidth="1"/>
    <col min="8" max="8" width="20.5703125" bestFit="1" customWidth="1"/>
    <col min="9" max="9" width="36" customWidth="1"/>
  </cols>
  <sheetData>
    <row r="1" spans="1:9" ht="18" customHeight="1" x14ac:dyDescent="0.25">
      <c r="A1" s="14" t="s">
        <v>17</v>
      </c>
      <c r="B1" s="14" t="s">
        <v>18</v>
      </c>
      <c r="C1" s="14" t="s">
        <v>19</v>
      </c>
      <c r="D1" s="14" t="s">
        <v>70</v>
      </c>
      <c r="E1" s="14" t="s">
        <v>20</v>
      </c>
      <c r="F1" s="14" t="s">
        <v>21</v>
      </c>
      <c r="G1" s="14" t="s">
        <v>22</v>
      </c>
      <c r="H1" s="15" t="s">
        <v>23</v>
      </c>
      <c r="I1" s="14" t="s">
        <v>24</v>
      </c>
    </row>
    <row r="2" spans="1:9" ht="18" customHeight="1" x14ac:dyDescent="0.25">
      <c r="A2" s="13"/>
      <c r="B2" s="11"/>
      <c r="C2" s="11"/>
      <c r="D2" s="11"/>
      <c r="E2" s="11"/>
      <c r="F2" s="11"/>
      <c r="G2" s="11"/>
      <c r="H2" s="11"/>
      <c r="I2" s="11"/>
    </row>
    <row r="3" spans="1:9" ht="18" customHeight="1" x14ac:dyDescent="0.25">
      <c r="A3" s="13" t="s">
        <v>159</v>
      </c>
      <c r="B3" s="11" t="s">
        <v>160</v>
      </c>
      <c r="C3" s="11">
        <v>5</v>
      </c>
      <c r="D3" s="11"/>
      <c r="E3" s="11" t="s">
        <v>161</v>
      </c>
      <c r="F3" s="11" t="s">
        <v>162</v>
      </c>
      <c r="G3" s="11">
        <v>100020218</v>
      </c>
      <c r="H3" s="16">
        <v>69.58</v>
      </c>
      <c r="I3" s="4">
        <f>C3*H3</f>
        <v>347.9</v>
      </c>
    </row>
    <row r="4" spans="1:9" ht="18" customHeight="1" x14ac:dyDescent="0.25">
      <c r="A4" s="13" t="s">
        <v>163</v>
      </c>
      <c r="B4" s="11" t="s">
        <v>165</v>
      </c>
      <c r="C4" s="11">
        <v>1</v>
      </c>
      <c r="D4" s="11"/>
      <c r="E4" s="11" t="s">
        <v>166</v>
      </c>
      <c r="F4" s="11" t="s">
        <v>162</v>
      </c>
      <c r="G4" s="11">
        <v>311376892</v>
      </c>
      <c r="H4" s="16">
        <v>29.37</v>
      </c>
      <c r="I4" s="4">
        <f t="shared" ref="I4:I7" si="0">C4*H4</f>
        <v>29.37</v>
      </c>
    </row>
    <row r="5" spans="1:9" ht="18" customHeight="1" x14ac:dyDescent="0.25">
      <c r="A5" s="13" t="s">
        <v>164</v>
      </c>
      <c r="B5" s="11" t="s">
        <v>165</v>
      </c>
      <c r="C5" s="11">
        <v>2</v>
      </c>
      <c r="D5" s="11"/>
      <c r="E5" s="11" t="s">
        <v>166</v>
      </c>
      <c r="F5" s="11" t="s">
        <v>162</v>
      </c>
      <c r="G5" s="11">
        <v>311376892</v>
      </c>
      <c r="H5" s="16">
        <v>29.37</v>
      </c>
      <c r="I5" s="4">
        <f t="shared" si="0"/>
        <v>58.74</v>
      </c>
    </row>
    <row r="6" spans="1:9" ht="18" customHeight="1" x14ac:dyDescent="0.25">
      <c r="A6" s="13"/>
      <c r="B6" s="11" t="s">
        <v>167</v>
      </c>
      <c r="C6" s="11">
        <v>2</v>
      </c>
      <c r="D6" s="11"/>
      <c r="E6" s="11" t="s">
        <v>168</v>
      </c>
      <c r="F6" s="11" t="s">
        <v>162</v>
      </c>
      <c r="G6" s="11">
        <v>202913292</v>
      </c>
      <c r="H6" s="16">
        <v>68.8</v>
      </c>
      <c r="I6" s="4">
        <f t="shared" si="0"/>
        <v>137.6</v>
      </c>
    </row>
    <row r="7" spans="1:9" ht="18" customHeight="1" x14ac:dyDescent="0.25">
      <c r="A7" s="13" t="s">
        <v>169</v>
      </c>
      <c r="B7" s="11" t="s">
        <v>170</v>
      </c>
      <c r="C7" s="11">
        <v>50</v>
      </c>
      <c r="D7" s="11"/>
      <c r="E7" s="11" t="s">
        <v>171</v>
      </c>
      <c r="F7" s="30" t="s">
        <v>211</v>
      </c>
      <c r="G7" s="11"/>
      <c r="H7" s="16">
        <v>4</v>
      </c>
      <c r="I7" s="4">
        <f t="shared" si="0"/>
        <v>200</v>
      </c>
    </row>
    <row r="8" spans="1:9" ht="18" customHeight="1" x14ac:dyDescent="0.25">
      <c r="A8" s="13"/>
      <c r="B8" s="3"/>
      <c r="C8" s="3"/>
      <c r="D8" s="11"/>
      <c r="E8" s="3"/>
      <c r="F8" s="3"/>
      <c r="G8" s="3"/>
      <c r="H8" s="3"/>
      <c r="I8" s="4"/>
    </row>
    <row r="9" spans="1:9" ht="18" customHeight="1" x14ac:dyDescent="0.25">
      <c r="A9" s="11"/>
      <c r="B9" s="11"/>
      <c r="C9" s="11"/>
      <c r="D9" s="11"/>
      <c r="E9" s="11"/>
      <c r="F9" s="11"/>
      <c r="G9" s="11"/>
      <c r="H9" s="11"/>
      <c r="I9" s="12">
        <f>SUM(I3:I7)</f>
        <v>773.61</v>
      </c>
    </row>
    <row r="10" spans="1:9" ht="18" customHeight="1" x14ac:dyDescent="0.25"/>
    <row r="11" spans="1:9" ht="18" customHeight="1" x14ac:dyDescent="0.25"/>
    <row r="12" spans="1:9" ht="18" customHeight="1" x14ac:dyDescent="0.25"/>
  </sheetData>
  <hyperlinks>
    <hyperlink ref="F7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F18" sqref="F18"/>
    </sheetView>
  </sheetViews>
  <sheetFormatPr defaultRowHeight="15" x14ac:dyDescent="0.25"/>
  <cols>
    <col min="1" max="1" width="18" customWidth="1"/>
    <col min="2" max="2" width="26" customWidth="1"/>
    <col min="3" max="4" width="18" customWidth="1"/>
    <col min="5" max="5" width="36" customWidth="1"/>
    <col min="6" max="7" width="18" customWidth="1"/>
    <col min="8" max="8" width="36" customWidth="1"/>
    <col min="9" max="9" width="22" customWidth="1"/>
  </cols>
  <sheetData>
    <row r="1" spans="1:9" ht="18" customHeight="1" x14ac:dyDescent="0.25">
      <c r="A1" s="14" t="s">
        <v>17</v>
      </c>
      <c r="B1" s="14" t="s">
        <v>71</v>
      </c>
      <c r="C1" s="14" t="s">
        <v>19</v>
      </c>
      <c r="D1" s="14" t="s">
        <v>72</v>
      </c>
      <c r="E1" s="14" t="s">
        <v>20</v>
      </c>
      <c r="F1" s="14" t="s">
        <v>21</v>
      </c>
      <c r="G1" s="14" t="s">
        <v>22</v>
      </c>
      <c r="H1" s="15" t="s">
        <v>23</v>
      </c>
      <c r="I1" s="14" t="s">
        <v>24</v>
      </c>
    </row>
    <row r="2" spans="1:9" ht="18" customHeight="1" x14ac:dyDescent="0.25">
      <c r="A2" s="13"/>
      <c r="B2" s="11"/>
      <c r="C2" s="11"/>
      <c r="D2" s="11"/>
      <c r="E2" s="11"/>
      <c r="F2" s="11"/>
      <c r="G2" s="11"/>
      <c r="H2" s="11"/>
      <c r="I2" s="11"/>
    </row>
    <row r="3" spans="1:9" ht="18" customHeight="1" x14ac:dyDescent="0.25">
      <c r="A3" s="13" t="s">
        <v>73</v>
      </c>
      <c r="B3" s="3" t="s">
        <v>74</v>
      </c>
      <c r="C3" s="3">
        <v>1</v>
      </c>
      <c r="D3" s="3" t="s">
        <v>75</v>
      </c>
      <c r="E3" s="3" t="s">
        <v>76</v>
      </c>
      <c r="F3" s="3" t="s">
        <v>28</v>
      </c>
      <c r="G3" s="3" t="s">
        <v>77</v>
      </c>
      <c r="H3" s="4">
        <v>342</v>
      </c>
      <c r="I3" s="12">
        <f t="shared" ref="I3:I7" si="0">C3*H3</f>
        <v>342</v>
      </c>
    </row>
    <row r="4" spans="1:9" ht="18" customHeight="1" x14ac:dyDescent="0.25">
      <c r="A4" s="13" t="s">
        <v>78</v>
      </c>
      <c r="B4" s="3" t="s">
        <v>79</v>
      </c>
      <c r="C4" s="3">
        <v>4</v>
      </c>
      <c r="D4" s="3" t="s">
        <v>80</v>
      </c>
      <c r="E4" s="3" t="s">
        <v>81</v>
      </c>
      <c r="F4" s="3" t="s">
        <v>28</v>
      </c>
      <c r="G4" s="3" t="s">
        <v>82</v>
      </c>
      <c r="H4" s="4">
        <v>29.95</v>
      </c>
      <c r="I4" s="12">
        <f t="shared" si="0"/>
        <v>119.8</v>
      </c>
    </row>
    <row r="5" spans="1:9" ht="18" customHeight="1" x14ac:dyDescent="0.25">
      <c r="A5" s="13" t="s">
        <v>83</v>
      </c>
      <c r="B5" s="3" t="s">
        <v>84</v>
      </c>
      <c r="C5" s="3">
        <v>1</v>
      </c>
      <c r="D5" s="3" t="s">
        <v>85</v>
      </c>
      <c r="E5" s="3" t="s">
        <v>86</v>
      </c>
      <c r="F5" s="3" t="s">
        <v>28</v>
      </c>
      <c r="G5" s="3" t="s">
        <v>87</v>
      </c>
      <c r="H5" s="4">
        <v>9.99</v>
      </c>
      <c r="I5" s="12">
        <f t="shared" si="0"/>
        <v>9.99</v>
      </c>
    </row>
    <row r="6" spans="1:9" ht="18" customHeight="1" x14ac:dyDescent="0.25">
      <c r="A6" s="13" t="s">
        <v>88</v>
      </c>
      <c r="B6" s="3" t="s">
        <v>89</v>
      </c>
      <c r="C6" s="3">
        <v>1</v>
      </c>
      <c r="D6" s="3" t="s">
        <v>85</v>
      </c>
      <c r="E6" s="3" t="s">
        <v>90</v>
      </c>
      <c r="F6" s="3" t="s">
        <v>28</v>
      </c>
      <c r="G6" s="3" t="s">
        <v>91</v>
      </c>
      <c r="H6" s="4">
        <v>9.8800000000000008</v>
      </c>
      <c r="I6" s="12">
        <f t="shared" si="0"/>
        <v>9.8800000000000008</v>
      </c>
    </row>
    <row r="7" spans="1:9" ht="18" customHeight="1" x14ac:dyDescent="0.25">
      <c r="A7" s="13" t="s">
        <v>92</v>
      </c>
      <c r="B7" s="3" t="s">
        <v>93</v>
      </c>
      <c r="C7" s="3">
        <v>2</v>
      </c>
      <c r="D7" s="3" t="s">
        <v>85</v>
      </c>
      <c r="E7" s="3" t="s">
        <v>94</v>
      </c>
      <c r="F7" s="3" t="s">
        <v>28</v>
      </c>
      <c r="G7" s="3" t="s">
        <v>95</v>
      </c>
      <c r="H7" s="4">
        <v>11.49</v>
      </c>
      <c r="I7" s="12">
        <f t="shared" si="0"/>
        <v>22.98</v>
      </c>
    </row>
    <row r="8" spans="1:9" ht="18" customHeight="1" x14ac:dyDescent="0.25">
      <c r="A8" s="11"/>
      <c r="B8" s="11"/>
      <c r="C8" s="11"/>
      <c r="D8" s="11"/>
      <c r="E8" s="11"/>
      <c r="F8" s="11"/>
      <c r="G8" s="11"/>
      <c r="H8" s="11"/>
      <c r="I8" s="11"/>
    </row>
    <row r="9" spans="1:9" ht="18" customHeight="1" x14ac:dyDescent="0.25">
      <c r="A9" s="11"/>
      <c r="B9" s="11"/>
      <c r="C9" s="11"/>
      <c r="D9" s="11"/>
      <c r="E9" s="11"/>
      <c r="F9" s="11"/>
      <c r="G9" s="11"/>
      <c r="H9" s="11"/>
      <c r="I9" s="12">
        <f>SUM(I3:I7)</f>
        <v>504.65000000000003</v>
      </c>
    </row>
    <row r="10" spans="1:9" ht="18" customHeight="1" x14ac:dyDescent="0.25"/>
    <row r="11" spans="1:9" ht="18" customHeight="1" x14ac:dyDescent="0.25"/>
    <row r="12" spans="1:9" ht="18" customHeight="1" x14ac:dyDescent="0.2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E11" sqref="E11"/>
    </sheetView>
  </sheetViews>
  <sheetFormatPr defaultRowHeight="15" x14ac:dyDescent="0.25"/>
  <cols>
    <col min="1" max="1" width="18" customWidth="1"/>
    <col min="2" max="2" width="26" customWidth="1"/>
    <col min="3" max="4" width="18" customWidth="1"/>
    <col min="5" max="5" width="36" customWidth="1"/>
    <col min="6" max="7" width="18" customWidth="1"/>
    <col min="8" max="8" width="36" customWidth="1"/>
    <col min="9" max="9" width="22" customWidth="1"/>
  </cols>
  <sheetData>
    <row r="1" spans="1:9" ht="18" customHeight="1" x14ac:dyDescent="0.25">
      <c r="A1" s="14" t="s">
        <v>17</v>
      </c>
      <c r="B1" s="14" t="s">
        <v>71</v>
      </c>
      <c r="C1" s="14" t="s">
        <v>19</v>
      </c>
      <c r="D1" s="14" t="s">
        <v>99</v>
      </c>
      <c r="E1" s="14" t="s">
        <v>20</v>
      </c>
      <c r="F1" s="14" t="s">
        <v>21</v>
      </c>
      <c r="G1" s="14" t="s">
        <v>22</v>
      </c>
      <c r="H1" s="15" t="s">
        <v>23</v>
      </c>
      <c r="I1" s="14" t="s">
        <v>24</v>
      </c>
    </row>
    <row r="2" spans="1:9" ht="18" customHeight="1" x14ac:dyDescent="0.25">
      <c r="A2" s="13"/>
      <c r="B2" s="11"/>
      <c r="C2" s="11"/>
      <c r="D2" s="11"/>
      <c r="E2" s="11"/>
      <c r="F2" s="11"/>
      <c r="G2" s="11"/>
      <c r="H2" s="11"/>
      <c r="I2" s="11"/>
    </row>
    <row r="3" spans="1:9" ht="18" customHeight="1" x14ac:dyDescent="0.25">
      <c r="A3" s="13" t="s">
        <v>100</v>
      </c>
      <c r="B3" s="3" t="s">
        <v>96</v>
      </c>
      <c r="C3" s="3">
        <v>1</v>
      </c>
      <c r="D3" s="3" t="s">
        <v>85</v>
      </c>
      <c r="E3" s="3" t="s">
        <v>97</v>
      </c>
      <c r="F3" s="3" t="s">
        <v>28</v>
      </c>
      <c r="G3" s="3" t="s">
        <v>98</v>
      </c>
      <c r="H3" s="4">
        <v>405.2</v>
      </c>
      <c r="I3" s="12">
        <f>C3*H3</f>
        <v>405.2</v>
      </c>
    </row>
    <row r="4" spans="1:9" ht="18" customHeight="1" x14ac:dyDescent="0.25">
      <c r="A4" s="13" t="s">
        <v>105</v>
      </c>
      <c r="B4" s="3" t="s">
        <v>101</v>
      </c>
      <c r="C4" s="3">
        <v>1</v>
      </c>
      <c r="D4" s="3" t="s">
        <v>102</v>
      </c>
      <c r="E4" s="3" t="s">
        <v>103</v>
      </c>
      <c r="F4" s="3" t="s">
        <v>28</v>
      </c>
      <c r="G4" s="3" t="s">
        <v>104</v>
      </c>
      <c r="H4" s="6">
        <v>357.91</v>
      </c>
      <c r="I4" s="12">
        <f>C4*H4</f>
        <v>357.91</v>
      </c>
    </row>
    <row r="5" spans="1:9" ht="18" customHeight="1" x14ac:dyDescent="0.25">
      <c r="A5" s="13" t="s">
        <v>110</v>
      </c>
      <c r="B5" s="3" t="s">
        <v>106</v>
      </c>
      <c r="C5" s="3">
        <v>1</v>
      </c>
      <c r="D5" s="3" t="s">
        <v>107</v>
      </c>
      <c r="E5" s="3" t="s">
        <v>108</v>
      </c>
      <c r="F5" s="3" t="s">
        <v>28</v>
      </c>
      <c r="G5" s="3" t="s">
        <v>109</v>
      </c>
      <c r="H5" s="6">
        <v>89</v>
      </c>
      <c r="I5" s="12">
        <f t="shared" ref="I5:I30" si="0">C5*H5</f>
        <v>89</v>
      </c>
    </row>
    <row r="6" spans="1:9" ht="18" customHeight="1" x14ac:dyDescent="0.25">
      <c r="A6" s="13" t="s">
        <v>115</v>
      </c>
      <c r="B6" s="3" t="s">
        <v>111</v>
      </c>
      <c r="C6" s="3">
        <v>1</v>
      </c>
      <c r="D6" s="3" t="s">
        <v>112</v>
      </c>
      <c r="E6" s="3" t="s">
        <v>113</v>
      </c>
      <c r="F6" s="3" t="s">
        <v>28</v>
      </c>
      <c r="G6" s="3" t="s">
        <v>114</v>
      </c>
      <c r="H6" s="6">
        <v>35</v>
      </c>
      <c r="I6" s="12">
        <f t="shared" si="0"/>
        <v>35</v>
      </c>
    </row>
    <row r="7" spans="1:9" ht="18" customHeight="1" x14ac:dyDescent="0.25">
      <c r="A7" s="13" t="s">
        <v>120</v>
      </c>
      <c r="B7" s="3" t="s">
        <v>116</v>
      </c>
      <c r="C7" s="3">
        <v>1</v>
      </c>
      <c r="D7" s="3" t="s">
        <v>117</v>
      </c>
      <c r="E7" s="3" t="s">
        <v>118</v>
      </c>
      <c r="F7" s="3" t="s">
        <v>28</v>
      </c>
      <c r="G7" s="3" t="s">
        <v>119</v>
      </c>
      <c r="H7" s="6">
        <v>13.99</v>
      </c>
      <c r="I7" s="12">
        <f t="shared" si="0"/>
        <v>13.99</v>
      </c>
    </row>
    <row r="8" spans="1:9" ht="18" customHeight="1" x14ac:dyDescent="0.25">
      <c r="A8" s="13" t="s">
        <v>123</v>
      </c>
      <c r="B8" s="3" t="s">
        <v>116</v>
      </c>
      <c r="C8" s="3">
        <v>1</v>
      </c>
      <c r="D8" s="3" t="s">
        <v>121</v>
      </c>
      <c r="E8" s="3" t="s">
        <v>118</v>
      </c>
      <c r="F8" s="3" t="s">
        <v>28</v>
      </c>
      <c r="G8" s="3" t="s">
        <v>122</v>
      </c>
      <c r="H8" s="6">
        <v>13.99</v>
      </c>
      <c r="I8" s="12">
        <f t="shared" si="0"/>
        <v>13.99</v>
      </c>
    </row>
    <row r="9" spans="1:9" ht="18" customHeight="1" x14ac:dyDescent="0.25">
      <c r="A9" s="13" t="s">
        <v>126</v>
      </c>
      <c r="B9" s="3" t="s">
        <v>116</v>
      </c>
      <c r="C9" s="3">
        <v>1</v>
      </c>
      <c r="D9" s="3" t="s">
        <v>124</v>
      </c>
      <c r="E9" s="3" t="s">
        <v>118</v>
      </c>
      <c r="F9" s="3" t="s">
        <v>28</v>
      </c>
      <c r="G9" s="3" t="s">
        <v>125</v>
      </c>
      <c r="H9" s="6">
        <v>13.99</v>
      </c>
      <c r="I9" s="12">
        <f t="shared" si="0"/>
        <v>13.99</v>
      </c>
    </row>
    <row r="10" spans="1:9" ht="18" customHeight="1" x14ac:dyDescent="0.25">
      <c r="A10" s="13" t="s">
        <v>131</v>
      </c>
      <c r="B10" s="3" t="s">
        <v>127</v>
      </c>
      <c r="C10" s="3">
        <v>1</v>
      </c>
      <c r="D10" s="3" t="s">
        <v>128</v>
      </c>
      <c r="E10" s="3" t="s">
        <v>129</v>
      </c>
      <c r="F10" s="3" t="s">
        <v>28</v>
      </c>
      <c r="G10" s="3" t="s">
        <v>130</v>
      </c>
      <c r="H10" s="6">
        <v>50.77</v>
      </c>
      <c r="I10" s="12">
        <f t="shared" si="0"/>
        <v>50.77</v>
      </c>
    </row>
    <row r="11" spans="1:9" ht="18" customHeight="1" x14ac:dyDescent="0.25">
      <c r="A11" s="13" t="s">
        <v>136</v>
      </c>
      <c r="B11" s="3" t="s">
        <v>132</v>
      </c>
      <c r="C11" s="3">
        <v>2</v>
      </c>
      <c r="D11" s="3" t="s">
        <v>133</v>
      </c>
      <c r="E11" s="3" t="s">
        <v>134</v>
      </c>
      <c r="F11" s="3" t="s">
        <v>28</v>
      </c>
      <c r="G11" s="3" t="s">
        <v>135</v>
      </c>
      <c r="H11" s="6">
        <v>17.989999999999998</v>
      </c>
      <c r="I11" s="12">
        <f t="shared" si="0"/>
        <v>35.979999999999997</v>
      </c>
    </row>
    <row r="12" spans="1:9" ht="18" customHeight="1" x14ac:dyDescent="0.25">
      <c r="A12" s="13" t="s">
        <v>141</v>
      </c>
      <c r="B12" s="3" t="s">
        <v>137</v>
      </c>
      <c r="C12" s="3">
        <v>1</v>
      </c>
      <c r="D12" s="3" t="s">
        <v>138</v>
      </c>
      <c r="E12" s="3" t="s">
        <v>139</v>
      </c>
      <c r="F12" s="3" t="s">
        <v>28</v>
      </c>
      <c r="G12" s="3" t="s">
        <v>140</v>
      </c>
      <c r="H12" s="6">
        <v>14.99</v>
      </c>
      <c r="I12" s="12">
        <f t="shared" si="0"/>
        <v>14.99</v>
      </c>
    </row>
    <row r="13" spans="1:9" ht="18" customHeight="1" x14ac:dyDescent="0.25">
      <c r="A13" s="13" t="s">
        <v>212</v>
      </c>
      <c r="B13" s="3" t="s">
        <v>142</v>
      </c>
      <c r="C13" s="3">
        <v>1</v>
      </c>
      <c r="D13" s="3" t="s">
        <v>138</v>
      </c>
      <c r="E13" s="3" t="s">
        <v>143</v>
      </c>
      <c r="F13" s="3" t="s">
        <v>28</v>
      </c>
      <c r="G13" s="3" t="s">
        <v>144</v>
      </c>
      <c r="H13" s="6">
        <v>8.99</v>
      </c>
      <c r="I13" s="12">
        <f t="shared" si="0"/>
        <v>8.99</v>
      </c>
    </row>
    <row r="14" spans="1:9" ht="90" x14ac:dyDescent="0.25">
      <c r="A14" s="13" t="s">
        <v>213</v>
      </c>
      <c r="B14" s="3" t="s">
        <v>195</v>
      </c>
      <c r="C14" s="11">
        <v>25</v>
      </c>
      <c r="D14" s="3"/>
      <c r="E14" s="3" t="s">
        <v>187</v>
      </c>
      <c r="F14" s="3" t="s">
        <v>231</v>
      </c>
      <c r="G14" s="3" t="s">
        <v>191</v>
      </c>
      <c r="H14" s="6">
        <v>3.6</v>
      </c>
      <c r="I14" s="12">
        <f t="shared" si="0"/>
        <v>90</v>
      </c>
    </row>
    <row r="15" spans="1:9" ht="90" x14ac:dyDescent="0.25">
      <c r="A15" s="13" t="s">
        <v>214</v>
      </c>
      <c r="B15" s="3" t="s">
        <v>196</v>
      </c>
      <c r="C15" s="11">
        <v>80</v>
      </c>
      <c r="D15" s="3"/>
      <c r="E15" s="3" t="s">
        <v>188</v>
      </c>
      <c r="F15" s="3" t="s">
        <v>231</v>
      </c>
      <c r="G15" s="3" t="s">
        <v>192</v>
      </c>
      <c r="H15" s="6">
        <v>5.94</v>
      </c>
      <c r="I15" s="12">
        <f t="shared" si="0"/>
        <v>475.20000000000005</v>
      </c>
    </row>
    <row r="16" spans="1:9" ht="105" x14ac:dyDescent="0.25">
      <c r="A16" s="13" t="s">
        <v>215</v>
      </c>
      <c r="B16" s="3" t="s">
        <v>197</v>
      </c>
      <c r="C16" s="11">
        <v>40</v>
      </c>
      <c r="D16" s="3"/>
      <c r="E16" s="3" t="s">
        <v>189</v>
      </c>
      <c r="F16" s="3" t="s">
        <v>231</v>
      </c>
      <c r="G16" s="3" t="s">
        <v>193</v>
      </c>
      <c r="H16" s="6">
        <v>1.58</v>
      </c>
      <c r="I16" s="12">
        <f t="shared" si="0"/>
        <v>63.2</v>
      </c>
    </row>
    <row r="17" spans="1:9" ht="75" x14ac:dyDescent="0.25">
      <c r="A17" s="13" t="s">
        <v>216</v>
      </c>
      <c r="B17" s="3" t="s">
        <v>198</v>
      </c>
      <c r="C17" s="11">
        <v>60</v>
      </c>
      <c r="D17" s="3"/>
      <c r="E17" s="3" t="s">
        <v>190</v>
      </c>
      <c r="F17" s="3" t="s">
        <v>231</v>
      </c>
      <c r="G17" s="3" t="s">
        <v>194</v>
      </c>
      <c r="H17" s="6">
        <v>1.61</v>
      </c>
      <c r="I17" s="12">
        <f t="shared" si="0"/>
        <v>96.600000000000009</v>
      </c>
    </row>
    <row r="18" spans="1:9" ht="30" x14ac:dyDescent="0.25">
      <c r="A18" s="13" t="s">
        <v>217</v>
      </c>
      <c r="B18" s="3" t="s">
        <v>199</v>
      </c>
      <c r="C18" s="3">
        <v>1</v>
      </c>
      <c r="D18" s="3"/>
      <c r="E18" s="3" t="s">
        <v>205</v>
      </c>
      <c r="F18" s="3" t="s">
        <v>230</v>
      </c>
      <c r="G18" s="3" t="s">
        <v>208</v>
      </c>
      <c r="H18" s="6">
        <v>23.46</v>
      </c>
      <c r="I18" s="12">
        <f t="shared" si="0"/>
        <v>23.46</v>
      </c>
    </row>
    <row r="19" spans="1:9" ht="30" x14ac:dyDescent="0.25">
      <c r="A19" s="13" t="s">
        <v>218</v>
      </c>
      <c r="B19" s="3" t="s">
        <v>199</v>
      </c>
      <c r="C19" s="3">
        <v>1</v>
      </c>
      <c r="D19" s="3"/>
      <c r="E19" s="3" t="s">
        <v>206</v>
      </c>
      <c r="F19" s="3" t="s">
        <v>230</v>
      </c>
      <c r="G19" s="3" t="s">
        <v>208</v>
      </c>
      <c r="H19" s="6">
        <v>23.46</v>
      </c>
      <c r="I19" s="12">
        <f t="shared" si="0"/>
        <v>23.46</v>
      </c>
    </row>
    <row r="20" spans="1:9" ht="30" x14ac:dyDescent="0.25">
      <c r="A20" s="13" t="s">
        <v>219</v>
      </c>
      <c r="B20" s="3" t="s">
        <v>199</v>
      </c>
      <c r="C20" s="3">
        <v>1</v>
      </c>
      <c r="D20" s="3"/>
      <c r="E20" s="3" t="s">
        <v>207</v>
      </c>
      <c r="F20" s="3" t="s">
        <v>230</v>
      </c>
      <c r="G20" s="3" t="s">
        <v>208</v>
      </c>
      <c r="H20" s="6">
        <v>23.46</v>
      </c>
      <c r="I20" s="12">
        <f t="shared" si="0"/>
        <v>23.46</v>
      </c>
    </row>
    <row r="21" spans="1:9" ht="30" x14ac:dyDescent="0.25">
      <c r="A21" s="13" t="s">
        <v>220</v>
      </c>
      <c r="B21" s="3" t="s">
        <v>200</v>
      </c>
      <c r="C21" s="3">
        <v>1</v>
      </c>
      <c r="D21" s="3"/>
      <c r="E21" s="3" t="s">
        <v>205</v>
      </c>
      <c r="F21" s="3" t="s">
        <v>230</v>
      </c>
      <c r="G21" s="3" t="s">
        <v>208</v>
      </c>
      <c r="H21" s="6">
        <v>22.22</v>
      </c>
      <c r="I21" s="12">
        <f t="shared" si="0"/>
        <v>22.22</v>
      </c>
    </row>
    <row r="22" spans="1:9" ht="30" x14ac:dyDescent="0.25">
      <c r="A22" s="13" t="s">
        <v>221</v>
      </c>
      <c r="B22" s="3" t="s">
        <v>200</v>
      </c>
      <c r="C22" s="3">
        <v>1</v>
      </c>
      <c r="D22" s="3"/>
      <c r="E22" s="3" t="s">
        <v>206</v>
      </c>
      <c r="F22" s="3" t="s">
        <v>230</v>
      </c>
      <c r="G22" s="3" t="s">
        <v>208</v>
      </c>
      <c r="H22" s="6">
        <v>22.22</v>
      </c>
      <c r="I22" s="12">
        <f t="shared" si="0"/>
        <v>22.22</v>
      </c>
    </row>
    <row r="23" spans="1:9" ht="30" x14ac:dyDescent="0.25">
      <c r="A23" s="13" t="s">
        <v>222</v>
      </c>
      <c r="B23" s="3" t="s">
        <v>200</v>
      </c>
      <c r="C23" s="3">
        <v>1</v>
      </c>
      <c r="D23" s="3"/>
      <c r="E23" s="3" t="s">
        <v>207</v>
      </c>
      <c r="F23" s="3" t="s">
        <v>230</v>
      </c>
      <c r="G23" s="3" t="s">
        <v>208</v>
      </c>
      <c r="H23" s="6">
        <v>22.22</v>
      </c>
      <c r="I23" s="12">
        <f t="shared" si="0"/>
        <v>22.22</v>
      </c>
    </row>
    <row r="24" spans="1:9" ht="30" x14ac:dyDescent="0.25">
      <c r="A24" s="13" t="s">
        <v>223</v>
      </c>
      <c r="B24" s="3" t="s">
        <v>201</v>
      </c>
      <c r="C24" s="3">
        <v>1</v>
      </c>
      <c r="D24" s="3"/>
      <c r="E24" s="3" t="s">
        <v>205</v>
      </c>
      <c r="F24" s="3" t="s">
        <v>230</v>
      </c>
      <c r="G24" s="3" t="s">
        <v>209</v>
      </c>
      <c r="H24" s="6">
        <v>30.31</v>
      </c>
      <c r="I24" s="12">
        <f t="shared" si="0"/>
        <v>30.31</v>
      </c>
    </row>
    <row r="25" spans="1:9" ht="30" x14ac:dyDescent="0.25">
      <c r="A25" s="13" t="s">
        <v>224</v>
      </c>
      <c r="B25" s="3" t="s">
        <v>201</v>
      </c>
      <c r="C25" s="3">
        <v>1</v>
      </c>
      <c r="D25" s="3"/>
      <c r="E25" s="3" t="s">
        <v>206</v>
      </c>
      <c r="F25" s="3" t="s">
        <v>230</v>
      </c>
      <c r="G25" s="3" t="s">
        <v>209</v>
      </c>
      <c r="H25" s="6">
        <v>30.31</v>
      </c>
      <c r="I25" s="12">
        <f t="shared" si="0"/>
        <v>30.31</v>
      </c>
    </row>
    <row r="26" spans="1:9" ht="30" x14ac:dyDescent="0.25">
      <c r="A26" s="13" t="s">
        <v>225</v>
      </c>
      <c r="B26" s="3" t="s">
        <v>201</v>
      </c>
      <c r="C26" s="3">
        <v>1</v>
      </c>
      <c r="D26" s="3"/>
      <c r="E26" s="3" t="s">
        <v>207</v>
      </c>
      <c r="F26" s="3" t="s">
        <v>230</v>
      </c>
      <c r="G26" s="3" t="s">
        <v>209</v>
      </c>
      <c r="H26" s="6">
        <v>30.31</v>
      </c>
      <c r="I26" s="12">
        <f t="shared" si="0"/>
        <v>30.31</v>
      </c>
    </row>
    <row r="27" spans="1:9" ht="30" x14ac:dyDescent="0.25">
      <c r="A27" s="13" t="s">
        <v>226</v>
      </c>
      <c r="B27" s="3" t="s">
        <v>202</v>
      </c>
      <c r="C27" s="3">
        <v>1</v>
      </c>
      <c r="D27" s="3"/>
      <c r="E27" s="3" t="s">
        <v>205</v>
      </c>
      <c r="F27" s="3" t="s">
        <v>230</v>
      </c>
      <c r="G27" s="3" t="s">
        <v>208</v>
      </c>
      <c r="H27" s="6">
        <v>6.77</v>
      </c>
      <c r="I27" s="12">
        <f t="shared" si="0"/>
        <v>6.77</v>
      </c>
    </row>
    <row r="28" spans="1:9" ht="30" x14ac:dyDescent="0.25">
      <c r="A28" s="13" t="s">
        <v>227</v>
      </c>
      <c r="B28" s="3" t="s">
        <v>202</v>
      </c>
      <c r="C28" s="3">
        <v>1</v>
      </c>
      <c r="D28" s="3"/>
      <c r="E28" s="3" t="s">
        <v>206</v>
      </c>
      <c r="F28" s="3" t="s">
        <v>230</v>
      </c>
      <c r="G28" s="3" t="s">
        <v>208</v>
      </c>
      <c r="H28" s="6">
        <v>6.77</v>
      </c>
      <c r="I28" s="12">
        <f t="shared" si="0"/>
        <v>6.77</v>
      </c>
    </row>
    <row r="29" spans="1:9" ht="30" x14ac:dyDescent="0.25">
      <c r="A29" s="13" t="s">
        <v>228</v>
      </c>
      <c r="B29" s="3" t="s">
        <v>203</v>
      </c>
      <c r="C29" s="3">
        <v>2</v>
      </c>
      <c r="D29" s="3" t="s">
        <v>204</v>
      </c>
      <c r="E29" s="3" t="s">
        <v>205</v>
      </c>
      <c r="F29" s="3" t="s">
        <v>230</v>
      </c>
      <c r="G29" s="3" t="s">
        <v>210</v>
      </c>
      <c r="H29" s="6">
        <v>14.24</v>
      </c>
      <c r="I29" s="12">
        <f t="shared" si="0"/>
        <v>28.48</v>
      </c>
    </row>
    <row r="30" spans="1:9" ht="30" x14ac:dyDescent="0.25">
      <c r="A30" s="13" t="s">
        <v>229</v>
      </c>
      <c r="B30" s="3" t="s">
        <v>203</v>
      </c>
      <c r="C30" s="3">
        <v>2</v>
      </c>
      <c r="D30" s="3" t="s">
        <v>204</v>
      </c>
      <c r="E30" s="3" t="s">
        <v>206</v>
      </c>
      <c r="F30" s="3" t="s">
        <v>230</v>
      </c>
      <c r="G30" s="3" t="s">
        <v>210</v>
      </c>
      <c r="H30" s="6">
        <v>14.24</v>
      </c>
      <c r="I30" s="12">
        <f t="shared" si="0"/>
        <v>28.48</v>
      </c>
    </row>
    <row r="31" spans="1:9" ht="18" customHeight="1" x14ac:dyDescent="0.25">
      <c r="A31" s="11"/>
      <c r="B31" s="11"/>
      <c r="C31" s="11"/>
      <c r="D31" s="11"/>
      <c r="E31" s="11"/>
      <c r="F31" s="11"/>
      <c r="G31" s="11"/>
      <c r="H31" s="12"/>
      <c r="I31" s="12"/>
    </row>
    <row r="32" spans="1:9" ht="18" customHeight="1" x14ac:dyDescent="0.25">
      <c r="A32" s="11"/>
      <c r="B32" s="11"/>
      <c r="C32" s="11"/>
      <c r="D32" s="11"/>
      <c r="E32" s="11"/>
      <c r="F32" s="11"/>
      <c r="G32" s="11"/>
      <c r="H32" s="12"/>
      <c r="I32" s="12">
        <f>SUM(I3:I30)</f>
        <v>2063.2799999999997</v>
      </c>
    </row>
    <row r="49" spans="4:8" x14ac:dyDescent="0.25">
      <c r="D49" s="10"/>
      <c r="G49" s="29"/>
      <c r="H49" s="29"/>
    </row>
    <row r="50" spans="4:8" x14ac:dyDescent="0.25">
      <c r="D50" s="10"/>
      <c r="G50" s="29"/>
      <c r="H50" s="29"/>
    </row>
    <row r="51" spans="4:8" x14ac:dyDescent="0.25">
      <c r="D51" s="10"/>
      <c r="G51" s="29"/>
      <c r="H51" s="29"/>
    </row>
    <row r="52" spans="4:8" x14ac:dyDescent="0.25">
      <c r="D52" s="10"/>
      <c r="G52" s="29"/>
      <c r="H52" s="29"/>
    </row>
  </sheetData>
  <pageMargins left="0.75" right="0.75" top="1" bottom="1" header="0.5" footer="0.5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X_Axis</vt:lpstr>
      <vt:lpstr>Y_Axis</vt:lpstr>
      <vt:lpstr>Z_Axis</vt:lpstr>
      <vt:lpstr>Spindle</vt:lpstr>
      <vt:lpstr>Frame_Structure</vt:lpstr>
      <vt:lpstr>Control_Electronics</vt:lpstr>
      <vt:lpstr>Power_System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maimino</cp:lastModifiedBy>
  <dcterms:created xsi:type="dcterms:W3CDTF">2026-02-01T17:46:10Z</dcterms:created>
  <dcterms:modified xsi:type="dcterms:W3CDTF">2026-03-09T16:05:58Z</dcterms:modified>
</cp:coreProperties>
</file>